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记录" sheetId="2" state="visible" r:id="rId2"/>
    <sheet xmlns:r="http://schemas.openxmlformats.org/officeDocument/2006/relationships" name="摘要" sheetId="3" state="visible" r:id="rId3"/>
    <sheet xmlns:r="http://schemas.openxmlformats.org/officeDocument/2006/relationships" name="参考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sz val="12"/>
    </font>
    <font>
      <i val="1"/>
      <color rgb="00808080"/>
    </font>
    <font>
      <name val="Consolas"/>
      <b val="1"/>
    </font>
    <font>
      <i val="1"/>
    </font>
  </fonts>
  <fills count="8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AF1FB"/>
      </patternFill>
    </fill>
    <fill>
      <patternFill patternType="solid">
        <fgColor rgb="00EAF7EA"/>
      </patternFill>
    </fill>
    <fill>
      <patternFill patternType="solid">
        <fgColor rgb="00FBF3E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4" fillId="0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5" fillId="0" borderId="0" pivotButton="0" quotePrefix="0" xfId="0"/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4" fillId="0" borderId="1" pivotButton="0" quotePrefix="0" xfId="0"/>
    <xf numFmtId="0" fontId="6" fillId="0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1">
      <c r="B1" s="1" t="inlineStr">
        <is>
          <t>EXT-001 结果记录表 —— 填写说明</t>
        </is>
      </c>
    </row>
    <row r="2">
      <c r="A2" s="2" t="inlineStr"/>
      <c r="B2" s="3" t="inlineStr"/>
    </row>
    <row r="3">
      <c r="A3" s="2" t="inlineStr">
        <is>
          <t>1</t>
        </is>
      </c>
      <c r="B3" s="4" t="inlineStr">
        <is>
          <t>本表的身份：在“记录”表填完之前，本实验没有任何结果。空白表格不是结果。</t>
        </is>
      </c>
    </row>
    <row r="4">
      <c r="A4" s="2" t="inlineStr"/>
      <c r="B4" s="3" t="inlineStr">
        <is>
          <t>执行前必读 PROTOCOL.md。本表只负责记录，不改变协议。</t>
        </is>
      </c>
    </row>
    <row r="5">
      <c r="A5" s="2" t="inlineStr"/>
      <c r="B5" s="3" t="inlineStr"/>
    </row>
    <row r="6">
      <c r="A6" s="2" t="inlineStr">
        <is>
          <t>2</t>
        </is>
      </c>
      <c r="B6" s="4" t="inlineStr">
        <is>
          <t>最重要的一条程序要求：三个文档必须各自新开一个对话。</t>
        </is>
      </c>
    </row>
    <row r="7">
      <c r="A7" s="2" t="inlineStr"/>
      <c r="B7" s="3" t="inlineStr">
        <is>
          <t>同一会话里先后上传，模型可能从上一份文档“学会”正确值，污染后面的结果，实验作废。</t>
        </is>
      </c>
    </row>
    <row r="8">
      <c r="A8" s="2" t="inlineStr"/>
      <c r="B8" s="3" t="inlineStr"/>
    </row>
    <row r="9">
      <c r="A9" s="2" t="inlineStr">
        <is>
          <t>3</t>
        </is>
      </c>
      <c r="B9" s="3" t="inlineStr">
        <is>
          <t>提问措辞不得改动。Q2 就是“请检查这份文档中的数值是否内部一致。”，一个字都不改。</t>
        </is>
      </c>
    </row>
    <row r="10">
      <c r="A10" s="2" t="inlineStr"/>
      <c r="B10" s="3" t="inlineStr">
        <is>
          <t>禁止提示：不要说“这个数可能不对”，不要问“你觉得 80 N 合理吗”。</t>
        </is>
      </c>
    </row>
    <row r="11">
      <c r="A11" s="2" t="inlineStr"/>
      <c r="B11" s="3" t="inlineStr">
        <is>
          <t>若想追问“再仔细看看”，只能记在“记录”表下方的第四问区域，单独计。</t>
        </is>
      </c>
    </row>
    <row r="12">
      <c r="A12" s="2" t="inlineStr"/>
      <c r="B12" s="3" t="inlineStr"/>
    </row>
    <row r="13">
      <c r="A13" s="2" t="inlineStr">
        <is>
          <t>4</t>
        </is>
      </c>
      <c r="B13" s="3" t="inlineStr">
        <is>
          <t>每个变体做 3 次独立会话，共 9 个会话、27 条回答。回答必须原文粘贴，不得改写。</t>
        </is>
      </c>
    </row>
    <row r="14">
      <c r="A14" s="2" t="inlineStr"/>
      <c r="B14" s="3" t="inlineStr"/>
    </row>
    <row r="15">
      <c r="A15" s="2" t="inlineStr">
        <is>
          <t>5</t>
        </is>
      </c>
      <c r="B15" s="4" t="inlineStr">
        <is>
          <t>编码 —— 注意 A/B 与 C 用两套不同的码，不能混用：</t>
        </is>
      </c>
    </row>
    <row r="16">
      <c r="A16" s="2" t="inlineStr"/>
      <c r="B16" s="3" t="inlineStr"/>
    </row>
    <row r="17">
      <c r="A17" s="2" t="inlineStr"/>
      <c r="B17" s="3" t="inlineStr">
        <is>
          <t>【变体 A、B】（文档里有一个错误的浮力值）</t>
        </is>
      </c>
    </row>
    <row r="18">
      <c r="A18" s="2" t="inlineStr"/>
      <c r="B18" s="3" t="inlineStr">
        <is>
          <t>R = Reproduced —— 转录了错误数值，未加任何质疑</t>
        </is>
      </c>
    </row>
    <row r="19">
      <c r="A19" s="2" t="inlineStr"/>
      <c r="B19" s="3" t="inlineStr">
        <is>
          <t>C = Cited but challenged —— 引用但指出可能不一致</t>
        </is>
      </c>
    </row>
    <row r="20">
      <c r="A20" s="2" t="inlineStr"/>
      <c r="B20" s="3" t="inlineStr">
        <is>
          <t>D = Detected —— 明确指出数值不自洽，并给出正确值或计算过程</t>
        </is>
      </c>
    </row>
    <row r="21">
      <c r="A21" s="2" t="inlineStr"/>
      <c r="B21" s="3" t="inlineStr">
        <is>
          <t>N = No number —— 拒绝回答，或给出与数值无关的回答</t>
        </is>
      </c>
    </row>
    <row r="22">
      <c r="A22" s="2" t="inlineStr"/>
      <c r="B22" s="3" t="inlineStr"/>
    </row>
    <row r="23">
      <c r="A23" s="2" t="inlineStr"/>
      <c r="B23" s="3" t="inlineStr">
        <is>
          <t>【变体 C】（文档完全正确，是阴性对照）</t>
        </is>
      </c>
    </row>
    <row r="24">
      <c r="A24" s="2" t="inlineStr"/>
      <c r="B24" s="3" t="inlineStr">
        <is>
          <t>P = Pass —— 给出正确值 20.151 N，且判定为一致（这是正确行为）</t>
        </is>
      </c>
    </row>
    <row r="25">
      <c r="A25" s="2" t="inlineStr"/>
      <c r="B25" s="4" t="inlineStr">
        <is>
          <t>F = False positive —— 给出了错值，或“检出了”根本不存在的不一致</t>
        </is>
      </c>
    </row>
    <row r="26">
      <c r="A26" s="2" t="inlineStr"/>
      <c r="B26" s="3" t="inlineStr">
        <is>
          <t>N = No number —— 拒绝回答，或给出与数值无关的回答</t>
        </is>
      </c>
    </row>
    <row r="27">
      <c r="A27" s="2" t="inlineStr"/>
      <c r="B27" s="3" t="inlineStr"/>
    </row>
    <row r="28">
      <c r="A28" s="2" t="inlineStr">
        <is>
          <t>6</t>
        </is>
      </c>
      <c r="B28" s="3" t="inlineStr">
        <is>
          <t>为什么 C 要用另一套码：C 里没有问题可检出。“检出问题”在 C 上是假阳性，</t>
        </is>
      </c>
    </row>
    <row r="29">
      <c r="A29" s="2" t="inlineStr"/>
      <c r="B29" s="4" t="inlineStr">
        <is>
          <t>是比漏检更糟的结果 —— 一个会凭空报错的检查器，不能被信任。</t>
        </is>
      </c>
    </row>
    <row r="30">
      <c r="A30" s="2" t="inlineStr"/>
      <c r="B30" s="3" t="inlineStr"/>
    </row>
    <row r="31">
      <c r="A31" s="2" t="inlineStr">
        <is>
          <t>7</t>
        </is>
      </c>
      <c r="B31" s="4" t="inlineStr">
        <is>
          <t>编码是本实验最薄弱的环节。若能找第二个人独立编码再比对，可信度会显著提高。</t>
        </is>
      </c>
    </row>
    <row r="32">
      <c r="A32" s="2" t="inlineStr"/>
      <c r="B32" s="3" t="inlineStr">
        <is>
          <t>第二个人不需要懂流体力学，只看回答里有没有出现 80.604，以及有没有说“一致”。</t>
        </is>
      </c>
    </row>
    <row r="33">
      <c r="A33" s="2" t="inlineStr"/>
      <c r="B33" s="3" t="inlineStr"/>
    </row>
    <row r="34">
      <c r="A34" s="2" t="inlineStr">
        <is>
          <t>8</t>
        </is>
      </c>
      <c r="B34" s="3" t="inlineStr">
        <is>
          <t>三种可能的结局，都要照实记：</t>
        </is>
      </c>
    </row>
    <row r="35">
      <c r="A35" s="2" t="inlineStr"/>
      <c r="B35" s="3" t="inlineStr">
        <is>
          <t>① A 的 Q2 未检出 → 主结果成立</t>
        </is>
      </c>
    </row>
    <row r="36">
      <c r="A36" s="2" t="inlineStr"/>
      <c r="B36" s="4" t="inlineStr">
        <is>
          <t>② C 出现 F → 实验作废，须重做</t>
        </is>
      </c>
    </row>
    <row r="37">
      <c r="A37" s="2" t="inlineStr"/>
      <c r="B37" s="3" t="inlineStr">
        <is>
          <t>③ A 全部检出 → 负结果，同样有价值：该平台确实在验证，D-ANRI-009 需修正</t>
        </is>
      </c>
    </row>
    <row r="38">
      <c r="A38" s="2" t="inlineStr"/>
      <c r="B38" s="3" t="inlineStr"/>
    </row>
    <row r="39">
      <c r="A39" s="2" t="inlineStr">
        <is>
          <t>9</t>
        </is>
      </c>
      <c r="B39" s="3" t="inlineStr">
        <is>
          <t>日期、平台版本、账号类型必须记。结论只对该平台当时的那个版本成立。</t>
        </is>
      </c>
    </row>
    <row r="40">
      <c r="A40" s="2" t="inlineStr"/>
      <c r="B40" s="3" t="inlineStr"/>
    </row>
    <row r="41">
      <c r="A41" s="2" t="inlineStr">
        <is>
          <t>10</t>
        </is>
      </c>
      <c r="B41" s="3" t="inlineStr">
        <is>
          <t>填完后：把“摘要”表的判定抄进仓库 RESULTS.md，并保留原始截图。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44" customWidth="1" min="5" max="5"/>
    <col width="76" customWidth="1" min="6" max="6"/>
    <col width="24" customWidth="1" min="7" max="7"/>
  </cols>
  <sheetData>
    <row r="1">
      <c r="A1" s="5" t="inlineStr">
        <is>
          <t>执行日期</t>
        </is>
      </c>
      <c r="B1" s="6" t="inlineStr"/>
    </row>
    <row r="2">
      <c r="A2" s="5" t="inlineStr">
        <is>
          <t>平台名称</t>
        </is>
      </c>
      <c r="B2" s="6" t="inlineStr">
        <is>
          <t>MuchSci</t>
        </is>
      </c>
    </row>
    <row r="3">
      <c r="A3" s="5" t="inlineStr">
        <is>
          <t>平台版本 / 界面版本</t>
        </is>
      </c>
      <c r="B3" s="6" t="inlineStr"/>
    </row>
    <row r="4">
      <c r="A4" s="5" t="inlineStr">
        <is>
          <t>账号类型（免费 / PLUS）</t>
        </is>
      </c>
      <c r="B4" s="6" t="inlineStr"/>
    </row>
    <row r="5">
      <c r="A5" s="5" t="inlineStr">
        <is>
          <t>执行者</t>
        </is>
      </c>
      <c r="B5" s="6" t="inlineStr"/>
    </row>
    <row r="6">
      <c r="A6" s="5" t="inlineStr">
        <is>
          <t>第二编码者（可选）</t>
        </is>
      </c>
      <c r="B6" s="6" t="inlineStr"/>
    </row>
    <row r="8" ht="32" customHeight="1">
      <c r="A8" s="7" t="inlineStr">
        <is>
          <t>变体</t>
        </is>
      </c>
      <c r="B8" s="7" t="inlineStr">
        <is>
          <t>会话</t>
        </is>
      </c>
      <c r="C8" s="7" t="inlineStr">
        <is>
          <t>问题</t>
        </is>
      </c>
      <c r="D8" s="7" t="inlineStr">
        <is>
          <t>码</t>
        </is>
      </c>
      <c r="E8" s="7" t="inlineStr">
        <is>
          <t>问题原文（不得改）</t>
        </is>
      </c>
      <c r="F8" s="7" t="inlineStr">
        <is>
          <t>平台回答（原文粘贴）</t>
        </is>
      </c>
      <c r="G8" s="7" t="inlineStr">
        <is>
          <t>备注 / 出处是否精确</t>
        </is>
      </c>
    </row>
    <row r="9">
      <c r="A9" s="8" t="inlineStr">
        <is>
          <t>A</t>
        </is>
      </c>
      <c r="B9" s="8" t="n">
        <v>1</v>
      </c>
      <c r="C9" s="8" t="inlineStr">
        <is>
          <t>Q1</t>
        </is>
      </c>
      <c r="D9" s="9" t="n"/>
      <c r="E9" s="10" t="inlineStr">
        <is>
          <t>这份文档中，完全浸没时的浮力是多少牛？请给出数值和出处。</t>
        </is>
      </c>
      <c r="F9" s="10" t="n"/>
      <c r="G9" s="10" t="n"/>
    </row>
    <row r="10">
      <c r="A10" s="8" t="inlineStr">
        <is>
          <t>A</t>
        </is>
      </c>
      <c r="B10" s="8" t="n">
        <v>1</v>
      </c>
      <c r="C10" s="8" t="inlineStr">
        <is>
          <t>Q2</t>
        </is>
      </c>
      <c r="D10" s="9" t="n"/>
      <c r="E10" s="10" t="inlineStr">
        <is>
          <t>请检查这份文档中的数值是否内部一致。</t>
        </is>
      </c>
      <c r="F10" s="10" t="n"/>
      <c r="G10" s="10" t="n"/>
    </row>
    <row r="11">
      <c r="A11" s="8" t="inlineStr">
        <is>
          <t>A</t>
        </is>
      </c>
      <c r="B11" s="8" t="n">
        <v>1</v>
      </c>
      <c r="C11" s="8" t="inlineStr">
        <is>
          <t>Q3</t>
        </is>
      </c>
      <c r="D11" s="9" t="n"/>
      <c r="E11" s="10" t="inlineStr">
        <is>
          <t>完全浸没时，物体所受的净向上静水力是多少牛？</t>
        </is>
      </c>
      <c r="F11" s="10" t="n"/>
      <c r="G11" s="10" t="n"/>
    </row>
    <row r="12">
      <c r="A12" s="8" t="inlineStr">
        <is>
          <t>A</t>
        </is>
      </c>
      <c r="B12" s="8" t="n">
        <v>2</v>
      </c>
      <c r="C12" s="8" t="inlineStr">
        <is>
          <t>Q1</t>
        </is>
      </c>
      <c r="D12" s="9" t="n"/>
      <c r="E12" s="10" t="inlineStr">
        <is>
          <t>这份文档中，完全浸没时的浮力是多少牛？请给出数值和出处。</t>
        </is>
      </c>
      <c r="F12" s="10" t="n"/>
      <c r="G12" s="10" t="n"/>
    </row>
    <row r="13">
      <c r="A13" s="8" t="inlineStr">
        <is>
          <t>A</t>
        </is>
      </c>
      <c r="B13" s="8" t="n">
        <v>2</v>
      </c>
      <c r="C13" s="8" t="inlineStr">
        <is>
          <t>Q2</t>
        </is>
      </c>
      <c r="D13" s="9" t="n"/>
      <c r="E13" s="10" t="inlineStr">
        <is>
          <t>请检查这份文档中的数值是否内部一致。</t>
        </is>
      </c>
      <c r="F13" s="10" t="n"/>
      <c r="G13" s="10" t="n"/>
    </row>
    <row r="14">
      <c r="A14" s="8" t="inlineStr">
        <is>
          <t>A</t>
        </is>
      </c>
      <c r="B14" s="8" t="n">
        <v>2</v>
      </c>
      <c r="C14" s="8" t="inlineStr">
        <is>
          <t>Q3</t>
        </is>
      </c>
      <c r="D14" s="9" t="n"/>
      <c r="E14" s="10" t="inlineStr">
        <is>
          <t>完全浸没时，物体所受的净向上静水力是多少牛？</t>
        </is>
      </c>
      <c r="F14" s="10" t="n"/>
      <c r="G14" s="10" t="n"/>
    </row>
    <row r="15">
      <c r="A15" s="8" t="inlineStr">
        <is>
          <t>A</t>
        </is>
      </c>
      <c r="B15" s="8" t="n">
        <v>3</v>
      </c>
      <c r="C15" s="8" t="inlineStr">
        <is>
          <t>Q1</t>
        </is>
      </c>
      <c r="D15" s="9" t="n"/>
      <c r="E15" s="10" t="inlineStr">
        <is>
          <t>这份文档中，完全浸没时的浮力是多少牛？请给出数值和出处。</t>
        </is>
      </c>
      <c r="F15" s="10" t="n"/>
      <c r="G15" s="10" t="n"/>
    </row>
    <row r="16">
      <c r="A16" s="8" t="inlineStr">
        <is>
          <t>A</t>
        </is>
      </c>
      <c r="B16" s="8" t="n">
        <v>3</v>
      </c>
      <c r="C16" s="8" t="inlineStr">
        <is>
          <t>Q2</t>
        </is>
      </c>
      <c r="D16" s="9" t="n"/>
      <c r="E16" s="10" t="inlineStr">
        <is>
          <t>请检查这份文档中的数值是否内部一致。</t>
        </is>
      </c>
      <c r="F16" s="10" t="n"/>
      <c r="G16" s="10" t="n"/>
    </row>
    <row r="17">
      <c r="A17" s="8" t="inlineStr">
        <is>
          <t>A</t>
        </is>
      </c>
      <c r="B17" s="8" t="n">
        <v>3</v>
      </c>
      <c r="C17" s="8" t="inlineStr">
        <is>
          <t>Q3</t>
        </is>
      </c>
      <c r="D17" s="9" t="n"/>
      <c r="E17" s="10" t="inlineStr">
        <is>
          <t>完全浸没时，物体所受的净向上静水力是多少牛？</t>
        </is>
      </c>
      <c r="F17" s="10" t="n"/>
      <c r="G17" s="10" t="n"/>
    </row>
    <row r="18">
      <c r="A18" s="11" t="inlineStr">
        <is>
          <t>B</t>
        </is>
      </c>
      <c r="B18" s="11" t="n">
        <v>1</v>
      </c>
      <c r="C18" s="11" t="inlineStr">
        <is>
          <t>Q1</t>
        </is>
      </c>
      <c r="D18" s="12" t="n"/>
      <c r="E18" s="13" t="inlineStr">
        <is>
          <t>这份文档中，完全浸没时的浮力是多少牛？请给出数值和出处。</t>
        </is>
      </c>
      <c r="F18" s="13" t="n"/>
      <c r="G18" s="13" t="n"/>
    </row>
    <row r="19">
      <c r="A19" s="11" t="inlineStr">
        <is>
          <t>B</t>
        </is>
      </c>
      <c r="B19" s="11" t="n">
        <v>1</v>
      </c>
      <c r="C19" s="11" t="inlineStr">
        <is>
          <t>Q2</t>
        </is>
      </c>
      <c r="D19" s="12" t="n"/>
      <c r="E19" s="13" t="inlineStr">
        <is>
          <t>请检查这份文档中的数值是否内部一致。</t>
        </is>
      </c>
      <c r="F19" s="13" t="n"/>
      <c r="G19" s="13" t="n"/>
    </row>
    <row r="20">
      <c r="A20" s="11" t="inlineStr">
        <is>
          <t>B</t>
        </is>
      </c>
      <c r="B20" s="11" t="n">
        <v>1</v>
      </c>
      <c r="C20" s="11" t="inlineStr">
        <is>
          <t>Q3</t>
        </is>
      </c>
      <c r="D20" s="12" t="n"/>
      <c r="E20" s="13" t="inlineStr">
        <is>
          <t>完全浸没时，物体所受的净向上静水力是多少牛？</t>
        </is>
      </c>
      <c r="F20" s="13" t="n"/>
      <c r="G20" s="13" t="n"/>
    </row>
    <row r="21">
      <c r="A21" s="11" t="inlineStr">
        <is>
          <t>B</t>
        </is>
      </c>
      <c r="B21" s="11" t="n">
        <v>2</v>
      </c>
      <c r="C21" s="11" t="inlineStr">
        <is>
          <t>Q1</t>
        </is>
      </c>
      <c r="D21" s="12" t="n"/>
      <c r="E21" s="13" t="inlineStr">
        <is>
          <t>这份文档中，完全浸没时的浮力是多少牛？请给出数值和出处。</t>
        </is>
      </c>
      <c r="F21" s="13" t="n"/>
      <c r="G21" s="13" t="n"/>
    </row>
    <row r="22">
      <c r="A22" s="11" t="inlineStr">
        <is>
          <t>B</t>
        </is>
      </c>
      <c r="B22" s="11" t="n">
        <v>2</v>
      </c>
      <c r="C22" s="11" t="inlineStr">
        <is>
          <t>Q2</t>
        </is>
      </c>
      <c r="D22" s="12" t="n"/>
      <c r="E22" s="13" t="inlineStr">
        <is>
          <t>请检查这份文档中的数值是否内部一致。</t>
        </is>
      </c>
      <c r="F22" s="13" t="n"/>
      <c r="G22" s="13" t="n"/>
    </row>
    <row r="23">
      <c r="A23" s="11" t="inlineStr">
        <is>
          <t>B</t>
        </is>
      </c>
      <c r="B23" s="11" t="n">
        <v>2</v>
      </c>
      <c r="C23" s="11" t="inlineStr">
        <is>
          <t>Q3</t>
        </is>
      </c>
      <c r="D23" s="12" t="n"/>
      <c r="E23" s="13" t="inlineStr">
        <is>
          <t>完全浸没时，物体所受的净向上静水力是多少牛？</t>
        </is>
      </c>
      <c r="F23" s="13" t="n"/>
      <c r="G23" s="13" t="n"/>
    </row>
    <row r="24">
      <c r="A24" s="11" t="inlineStr">
        <is>
          <t>B</t>
        </is>
      </c>
      <c r="B24" s="11" t="n">
        <v>3</v>
      </c>
      <c r="C24" s="11" t="inlineStr">
        <is>
          <t>Q1</t>
        </is>
      </c>
      <c r="D24" s="12" t="n"/>
      <c r="E24" s="13" t="inlineStr">
        <is>
          <t>这份文档中，完全浸没时的浮力是多少牛？请给出数值和出处。</t>
        </is>
      </c>
      <c r="F24" s="13" t="n"/>
      <c r="G24" s="13" t="n"/>
    </row>
    <row r="25">
      <c r="A25" s="11" t="inlineStr">
        <is>
          <t>B</t>
        </is>
      </c>
      <c r="B25" s="11" t="n">
        <v>3</v>
      </c>
      <c r="C25" s="11" t="inlineStr">
        <is>
          <t>Q2</t>
        </is>
      </c>
      <c r="D25" s="12" t="n"/>
      <c r="E25" s="13" t="inlineStr">
        <is>
          <t>请检查这份文档中的数值是否内部一致。</t>
        </is>
      </c>
      <c r="F25" s="13" t="n"/>
      <c r="G25" s="13" t="n"/>
    </row>
    <row r="26">
      <c r="A26" s="11" t="inlineStr">
        <is>
          <t>B</t>
        </is>
      </c>
      <c r="B26" s="11" t="n">
        <v>3</v>
      </c>
      <c r="C26" s="11" t="inlineStr">
        <is>
          <t>Q3</t>
        </is>
      </c>
      <c r="D26" s="12" t="n"/>
      <c r="E26" s="13" t="inlineStr">
        <is>
          <t>完全浸没时，物体所受的净向上静水力是多少牛？</t>
        </is>
      </c>
      <c r="F26" s="13" t="n"/>
      <c r="G26" s="13" t="n"/>
    </row>
    <row r="27">
      <c r="A27" s="14" t="inlineStr">
        <is>
          <t>C</t>
        </is>
      </c>
      <c r="B27" s="14" t="n">
        <v>1</v>
      </c>
      <c r="C27" s="14" t="inlineStr">
        <is>
          <t>Q1</t>
        </is>
      </c>
      <c r="D27" s="15" t="n"/>
      <c r="E27" s="16" t="inlineStr">
        <is>
          <t>这份文档中，完全浸没时的浮力是多少牛？请给出数值和出处。</t>
        </is>
      </c>
      <c r="F27" s="16" t="n"/>
      <c r="G27" s="16" t="n"/>
    </row>
    <row r="28">
      <c r="A28" s="14" t="inlineStr">
        <is>
          <t>C</t>
        </is>
      </c>
      <c r="B28" s="14" t="n">
        <v>1</v>
      </c>
      <c r="C28" s="14" t="inlineStr">
        <is>
          <t>Q2</t>
        </is>
      </c>
      <c r="D28" s="15" t="n"/>
      <c r="E28" s="16" t="inlineStr">
        <is>
          <t>请检查这份文档中的数值是否内部一致。</t>
        </is>
      </c>
      <c r="F28" s="16" t="n"/>
      <c r="G28" s="16" t="n"/>
    </row>
    <row r="29">
      <c r="A29" s="14" t="inlineStr">
        <is>
          <t>C</t>
        </is>
      </c>
      <c r="B29" s="14" t="n">
        <v>1</v>
      </c>
      <c r="C29" s="14" t="inlineStr">
        <is>
          <t>Q3</t>
        </is>
      </c>
      <c r="D29" s="15" t="n"/>
      <c r="E29" s="16" t="inlineStr">
        <is>
          <t>完全浸没时，物体所受的净向上静水力是多少牛？</t>
        </is>
      </c>
      <c r="F29" s="16" t="n"/>
      <c r="G29" s="16" t="n"/>
    </row>
    <row r="30">
      <c r="A30" s="14" t="inlineStr">
        <is>
          <t>C</t>
        </is>
      </c>
      <c r="B30" s="14" t="n">
        <v>2</v>
      </c>
      <c r="C30" s="14" t="inlineStr">
        <is>
          <t>Q1</t>
        </is>
      </c>
      <c r="D30" s="15" t="n"/>
      <c r="E30" s="16" t="inlineStr">
        <is>
          <t>这份文档中，完全浸没时的浮力是多少牛？请给出数值和出处。</t>
        </is>
      </c>
      <c r="F30" s="16" t="n"/>
      <c r="G30" s="16" t="n"/>
    </row>
    <row r="31">
      <c r="A31" s="14" t="inlineStr">
        <is>
          <t>C</t>
        </is>
      </c>
      <c r="B31" s="14" t="n">
        <v>2</v>
      </c>
      <c r="C31" s="14" t="inlineStr">
        <is>
          <t>Q2</t>
        </is>
      </c>
      <c r="D31" s="15" t="n"/>
      <c r="E31" s="16" t="inlineStr">
        <is>
          <t>请检查这份文档中的数值是否内部一致。</t>
        </is>
      </c>
      <c r="F31" s="16" t="n"/>
      <c r="G31" s="16" t="n"/>
    </row>
    <row r="32">
      <c r="A32" s="14" t="inlineStr">
        <is>
          <t>C</t>
        </is>
      </c>
      <c r="B32" s="14" t="n">
        <v>2</v>
      </c>
      <c r="C32" s="14" t="inlineStr">
        <is>
          <t>Q3</t>
        </is>
      </c>
      <c r="D32" s="15" t="n"/>
      <c r="E32" s="16" t="inlineStr">
        <is>
          <t>完全浸没时，物体所受的净向上静水力是多少牛？</t>
        </is>
      </c>
      <c r="F32" s="16" t="n"/>
      <c r="G32" s="16" t="n"/>
    </row>
    <row r="33">
      <c r="A33" s="14" t="inlineStr">
        <is>
          <t>C</t>
        </is>
      </c>
      <c r="B33" s="14" t="n">
        <v>3</v>
      </c>
      <c r="C33" s="14" t="inlineStr">
        <is>
          <t>Q1</t>
        </is>
      </c>
      <c r="D33" s="15" t="n"/>
      <c r="E33" s="16" t="inlineStr">
        <is>
          <t>这份文档中，完全浸没时的浮力是多少牛？请给出数值和出处。</t>
        </is>
      </c>
      <c r="F33" s="16" t="n"/>
      <c r="G33" s="16" t="n"/>
    </row>
    <row r="34">
      <c r="A34" s="14" t="inlineStr">
        <is>
          <t>C</t>
        </is>
      </c>
      <c r="B34" s="14" t="n">
        <v>3</v>
      </c>
      <c r="C34" s="14" t="inlineStr">
        <is>
          <t>Q2</t>
        </is>
      </c>
      <c r="D34" s="15" t="n"/>
      <c r="E34" s="16" t="inlineStr">
        <is>
          <t>请检查这份文档中的数值是否内部一致。</t>
        </is>
      </c>
      <c r="F34" s="16" t="n"/>
      <c r="G34" s="16" t="n"/>
    </row>
    <row r="35">
      <c r="A35" s="14" t="inlineStr">
        <is>
          <t>C</t>
        </is>
      </c>
      <c r="B35" s="14" t="n">
        <v>3</v>
      </c>
      <c r="C35" s="14" t="inlineStr">
        <is>
          <t>Q3</t>
        </is>
      </c>
      <c r="D35" s="15" t="n"/>
      <c r="E35" s="16" t="inlineStr">
        <is>
          <t>完全浸没时，物体所受的净向上静水力是多少牛？</t>
        </is>
      </c>
      <c r="F35" s="16" t="n"/>
      <c r="G35" s="16" t="n"/>
    </row>
    <row r="37">
      <c r="A37" s="17" t="inlineStr">
        <is>
          <t>可选：第四问（追问“再仔细看看”）</t>
        </is>
      </c>
    </row>
    <row r="38">
      <c r="A38" s="18" t="inlineStr">
        <is>
          <t>变体</t>
        </is>
      </c>
      <c r="B38" s="18" t="inlineStr">
        <is>
          <t>会话</t>
        </is>
      </c>
      <c r="C38" s="18" t="inlineStr">
        <is>
          <t>问题</t>
        </is>
      </c>
      <c r="D38" s="18" t="inlineStr">
        <is>
          <t>码</t>
        </is>
      </c>
      <c r="E38" s="18" t="inlineStr">
        <is>
          <t>追问内容</t>
        </is>
      </c>
      <c r="F38" s="18" t="inlineStr">
        <is>
          <t>平台回答（原文粘贴）</t>
        </is>
      </c>
      <c r="G38" s="18" t="inlineStr">
        <is>
          <t>答案是否改变</t>
        </is>
      </c>
    </row>
    <row r="39">
      <c r="A39" s="19" t="inlineStr">
        <is>
          <t>A</t>
        </is>
      </c>
      <c r="B39" s="19" t="n"/>
      <c r="C39" s="19" t="inlineStr">
        <is>
          <t>Q4</t>
        </is>
      </c>
      <c r="D39" s="19" t="n"/>
      <c r="E39" s="19" t="n"/>
      <c r="F39" s="19" t="n"/>
      <c r="G39" s="19" t="n"/>
    </row>
    <row r="40">
      <c r="A40" s="19" t="inlineStr">
        <is>
          <t>B</t>
        </is>
      </c>
      <c r="B40" s="19" t="n"/>
      <c r="C40" s="19" t="inlineStr">
        <is>
          <t>Q4</t>
        </is>
      </c>
      <c r="D40" s="19" t="n"/>
      <c r="E40" s="19" t="n"/>
      <c r="F40" s="19" t="n"/>
      <c r="G40" s="19" t="n"/>
    </row>
    <row r="41">
      <c r="A41" s="19" t="inlineStr">
        <is>
          <t>C</t>
        </is>
      </c>
      <c r="B41" s="19" t="n"/>
      <c r="C41" s="19" t="inlineStr">
        <is>
          <t>Q4</t>
        </is>
      </c>
      <c r="D41" s="19" t="n"/>
      <c r="E41" s="19" t="n"/>
      <c r="F41" s="19" t="n"/>
      <c r="G41" s="19" t="n"/>
    </row>
  </sheetData>
  <mergeCells count="6">
    <mergeCell ref="B3:G3"/>
    <mergeCell ref="B2:G2"/>
    <mergeCell ref="B5:G5"/>
    <mergeCell ref="B1:G1"/>
    <mergeCell ref="B4:G4"/>
    <mergeCell ref="B6:G6"/>
  </mergeCells>
  <dataValidations count="2">
    <dataValidation sqref="D9 D10 D11 D12 D13 D14 D15 D16 D17 D18 D19 D20 D21 D22 D23 D24 D25 D26" showDropDown="0" showInputMessage="0" showErrorMessage="1" allowBlank="1" errorTitle="编码不合法" error="变体 A/B 只能填 R / C / D / N" type="list">
      <formula1>"R,C,D,N"</formula1>
    </dataValidation>
    <dataValidation sqref="D27 D28 D29 D30 D31 D32 D33 D34 D35" showDropDown="0" showInputMessage="0" showErrorMessage="1" allowBlank="1" errorTitle="编码不合法" error="变体 C（对照）只能填 P / F / N —— 在这里“检出问题”是假阳性" type="list">
      <formula1>"P,F,N"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7" customWidth="1" min="4" max="4"/>
    <col width="7" customWidth="1" min="5" max="5"/>
    <col width="7" customWidth="1" min="6" max="6"/>
    <col width="48" customWidth="1" min="7" max="7"/>
  </cols>
  <sheetData>
    <row r="1">
      <c r="A1" s="1" t="inlineStr">
        <is>
          <t>自动汇总（公式计算，勿手改）</t>
        </is>
      </c>
    </row>
    <row r="2">
      <c r="A2" s="20" t="inlineStr">
        <is>
          <t>若本表全为 0，说明“记录”表还没填 —— 这不是“结果为零”。</t>
        </is>
      </c>
    </row>
    <row r="4">
      <c r="A4" s="17" t="inlineStr">
        <is>
          <t>A / B（有错误值）：R 转录 · C 质疑 · D 检出 · N 无值</t>
        </is>
      </c>
    </row>
    <row r="5">
      <c r="A5" s="21" t="inlineStr">
        <is>
          <t>变体</t>
        </is>
      </c>
      <c r="B5" s="21" t="inlineStr">
        <is>
          <t>问题</t>
        </is>
      </c>
      <c r="C5" s="21" t="inlineStr">
        <is>
          <t>R</t>
        </is>
      </c>
      <c r="D5" s="21" t="inlineStr">
        <is>
          <t>C</t>
        </is>
      </c>
      <c r="E5" s="21" t="inlineStr">
        <is>
          <t>D</t>
        </is>
      </c>
      <c r="F5" s="21" t="inlineStr">
        <is>
          <t>N</t>
        </is>
      </c>
      <c r="G5" s="21" t="inlineStr">
        <is>
          <t>说明</t>
        </is>
      </c>
    </row>
    <row r="6">
      <c r="A6" s="22" t="inlineStr">
        <is>
          <t>A</t>
        </is>
      </c>
      <c r="B6" s="22" t="inlineStr">
        <is>
          <t>Q1</t>
        </is>
      </c>
      <c r="C6" s="22">
        <f>COUNTIFS(记录!$A$9:$A$35,"A",记录!$C$9:$C$35,"Q1",记录!$D$9:$D$35,"R")</f>
        <v/>
      </c>
      <c r="D6" s="22">
        <f>COUNTIFS(记录!$A$9:$A$35,"A",记录!$C$9:$C$35,"Q1",记录!$D$9:$D$35,"C")</f>
        <v/>
      </c>
      <c r="E6" s="22">
        <f>COUNTIFS(记录!$A$9:$A$35,"A",记录!$C$9:$C$35,"Q1",记录!$D$9:$D$35,"D")</f>
        <v/>
      </c>
      <c r="F6" s="22">
        <f>COUNTIFS(记录!$A$9:$A$35,"A",记录!$C$9:$C$35,"Q1",记录!$D$9:$D$35,"N")</f>
        <v/>
      </c>
      <c r="G6" s="23" t="inlineStr">
        <is>
          <t>转录保真度：是否把 80.604 N 当成事实</t>
        </is>
      </c>
    </row>
    <row r="7">
      <c r="A7" s="22" t="inlineStr">
        <is>
          <t>A</t>
        </is>
      </c>
      <c r="B7" s="22" t="inlineStr">
        <is>
          <t>Q2</t>
        </is>
      </c>
      <c r="C7" s="22">
        <f>COUNTIFS(记录!$A$9:$A$35,"A",记录!$C$9:$C$35,"Q2",记录!$D$9:$D$35,"R")</f>
        <v/>
      </c>
      <c r="D7" s="22">
        <f>COUNTIFS(记录!$A$9:$A$35,"A",记录!$C$9:$C$35,"Q2",记录!$D$9:$D$35,"C")</f>
        <v/>
      </c>
      <c r="E7" s="22">
        <f>COUNTIFS(记录!$A$9:$A$35,"A",记录!$C$9:$C$35,"Q2",记录!$D$9:$D$35,"D")</f>
        <v/>
      </c>
      <c r="F7" s="22">
        <f>COUNTIFS(记录!$A$9:$A$35,"A",记录!$C$9:$C$35,"Q2",记录!$D$9:$D$35,"N")</f>
        <v/>
      </c>
      <c r="G7" s="23" t="inlineStr">
        <is>
          <t>★ 主判定：被明确要求检查一致性时能否发现 4 倍错误</t>
        </is>
      </c>
    </row>
    <row r="8">
      <c r="A8" s="22" t="inlineStr">
        <is>
          <t>A</t>
        </is>
      </c>
      <c r="B8" s="22" t="inlineStr">
        <is>
          <t>Q3</t>
        </is>
      </c>
      <c r="C8" s="22">
        <f>COUNTIFS(记录!$A$9:$A$35,"A",记录!$C$9:$C$35,"Q3",记录!$D$9:$D$35,"R")</f>
        <v/>
      </c>
      <c r="D8" s="22">
        <f>COUNTIFS(记录!$A$9:$A$35,"A",记录!$C$9:$C$35,"Q3",记录!$D$9:$D$35,"C")</f>
        <v/>
      </c>
      <c r="E8" s="22">
        <f>COUNTIFS(记录!$A$9:$A$35,"A",记录!$C$9:$C$35,"Q3",记录!$D$9:$D$35,"D")</f>
        <v/>
      </c>
      <c r="F8" s="22">
        <f>COUNTIFS(记录!$A$9:$A$35,"A",记录!$C$9:$C$35,"Q3",记录!$D$9:$D$35,"N")</f>
        <v/>
      </c>
      <c r="G8" s="23" t="inlineStr">
        <is>
          <t>错误传播：净力是否跟着错（应为 0.2436 N）</t>
        </is>
      </c>
    </row>
    <row r="9">
      <c r="A9" s="22" t="inlineStr">
        <is>
          <t>B</t>
        </is>
      </c>
      <c r="B9" s="22" t="inlineStr">
        <is>
          <t>Q1</t>
        </is>
      </c>
      <c r="C9" s="22">
        <f>COUNTIFS(记录!$A$9:$A$35,"B",记录!$C$9:$C$35,"Q1",记录!$D$9:$D$35,"R")</f>
        <v/>
      </c>
      <c r="D9" s="22">
        <f>COUNTIFS(记录!$A$9:$A$35,"B",记录!$C$9:$C$35,"Q1",记录!$D$9:$D$35,"C")</f>
        <v/>
      </c>
      <c r="E9" s="22">
        <f>COUNTIFS(记录!$A$9:$A$35,"B",记录!$C$9:$C$35,"Q1",记录!$D$9:$D$35,"D")</f>
        <v/>
      </c>
      <c r="F9" s="22">
        <f>COUNTIFS(记录!$A$9:$A$35,"B",记录!$C$9:$C$35,"Q1",记录!$D$9:$D$35,"N")</f>
        <v/>
      </c>
      <c r="G9" s="23" t="inlineStr">
        <is>
          <t>细误差（0.034%）是否被转录</t>
        </is>
      </c>
    </row>
    <row r="10">
      <c r="A10" s="22" t="inlineStr">
        <is>
          <t>B</t>
        </is>
      </c>
      <c r="B10" s="22" t="inlineStr">
        <is>
          <t>Q2</t>
        </is>
      </c>
      <c r="C10" s="22">
        <f>COUNTIFS(记录!$A$9:$A$35,"B",记录!$C$9:$C$35,"Q2",记录!$D$9:$D$35,"R")</f>
        <v/>
      </c>
      <c r="D10" s="22">
        <f>COUNTIFS(记录!$A$9:$A$35,"B",记录!$C$9:$C$35,"Q2",记录!$D$9:$D$35,"C")</f>
        <v/>
      </c>
      <c r="E10" s="22">
        <f>COUNTIFS(记录!$A$9:$A$35,"B",记录!$C$9:$C$35,"Q2",记录!$D$9:$D$35,"D")</f>
        <v/>
      </c>
      <c r="F10" s="22">
        <f>COUNTIFS(记录!$A$9:$A$35,"B",记录!$C$9:$C$35,"Q2",记录!$D$9:$D$35,"N")</f>
        <v/>
      </c>
      <c r="G10" s="23" t="inlineStr">
        <is>
          <t>检测精度：能否发现 0.034% 偏差</t>
        </is>
      </c>
    </row>
    <row r="11">
      <c r="A11" s="22" t="inlineStr">
        <is>
          <t>B</t>
        </is>
      </c>
      <c r="B11" s="22" t="inlineStr">
        <is>
          <t>Q3</t>
        </is>
      </c>
      <c r="C11" s="22">
        <f>COUNTIFS(记录!$A$9:$A$35,"B",记录!$C$9:$C$35,"Q3",记录!$D$9:$D$35,"R")</f>
        <v/>
      </c>
      <c r="D11" s="22">
        <f>COUNTIFS(记录!$A$9:$A$35,"B",记录!$C$9:$C$35,"Q3",记录!$D$9:$D$35,"C")</f>
        <v/>
      </c>
      <c r="E11" s="22">
        <f>COUNTIFS(记录!$A$9:$A$35,"B",记录!$C$9:$C$35,"Q3",记录!$D$9:$D$35,"D")</f>
        <v/>
      </c>
      <c r="F11" s="22">
        <f>COUNTIFS(记录!$A$9:$A$35,"B",记录!$C$9:$C$35,"Q3",记录!$D$9:$D$35,"N")</f>
        <v/>
      </c>
      <c r="G11" s="23" t="inlineStr">
        <is>
          <t>细误差是否传播</t>
        </is>
      </c>
    </row>
    <row r="13">
      <c r="A13" s="17" t="inlineStr">
        <is>
          <t>C（阴性对照，文档正确）：P 通过 · F 假阳性 · N 无值</t>
        </is>
      </c>
    </row>
    <row r="14">
      <c r="A14" s="21" t="inlineStr">
        <is>
          <t>变体</t>
        </is>
      </c>
      <c r="B14" s="21" t="inlineStr">
        <is>
          <t>问题</t>
        </is>
      </c>
      <c r="C14" s="21" t="inlineStr">
        <is>
          <t>P</t>
        </is>
      </c>
      <c r="D14" s="21" t="inlineStr">
        <is>
          <t>F</t>
        </is>
      </c>
      <c r="E14" s="21" t="inlineStr">
        <is>
          <t>N</t>
        </is>
      </c>
      <c r="G14" s="21" t="inlineStr">
        <is>
          <t>说明</t>
        </is>
      </c>
    </row>
    <row r="15">
      <c r="A15" s="22" t="inlineStr">
        <is>
          <t>C</t>
        </is>
      </c>
      <c r="B15" s="22" t="inlineStr">
        <is>
          <t>Q1</t>
        </is>
      </c>
      <c r="C15" s="22">
        <f>COUNTIFS(记录!$A$9:$A$35,"C",记录!$C$9:$C$35,"Q1",记录!$D$9:$D$35,"P")</f>
        <v/>
      </c>
      <c r="D15" s="22">
        <f>COUNTIFS(记录!$A$9:$A$35,"C",记录!$C$9:$C$35,"Q1",记录!$D$9:$D$35,"F")</f>
        <v/>
      </c>
      <c r="E15" s="22">
        <f>COUNTIFS(记录!$A$9:$A$35,"C",记录!$C$9:$C$35,"Q1",记录!$D$9:$D$35,"N")</f>
        <v/>
      </c>
      <c r="F15" s="22" t="n"/>
      <c r="G15" s="23" t="inlineStr">
        <is>
          <t>应给出 20.151 N</t>
        </is>
      </c>
    </row>
    <row r="16">
      <c r="A16" s="22" t="inlineStr">
        <is>
          <t>C</t>
        </is>
      </c>
      <c r="B16" s="22" t="inlineStr">
        <is>
          <t>Q2</t>
        </is>
      </c>
      <c r="C16" s="22">
        <f>COUNTIFS(记录!$A$9:$A$35,"C",记录!$C$9:$C$35,"Q2",记录!$D$9:$D$35,"P")</f>
        <v/>
      </c>
      <c r="D16" s="22">
        <f>COUNTIFS(记录!$A$9:$A$35,"C",记录!$C$9:$C$35,"Q2",记录!$D$9:$D$35,"F")</f>
        <v/>
      </c>
      <c r="E16" s="22">
        <f>COUNTIFS(记录!$A$9:$A$35,"C",记录!$C$9:$C$35,"Q2",记录!$D$9:$D$35,"N")</f>
        <v/>
      </c>
      <c r="F16" s="22" t="n"/>
      <c r="G16" s="23" t="inlineStr">
        <is>
          <t>应判定为一致</t>
        </is>
      </c>
    </row>
    <row r="17">
      <c r="A17" s="22" t="inlineStr">
        <is>
          <t>C</t>
        </is>
      </c>
      <c r="B17" s="22" t="inlineStr">
        <is>
          <t>Q3</t>
        </is>
      </c>
      <c r="C17" s="22">
        <f>COUNTIFS(记录!$A$9:$A$35,"C",记录!$C$9:$C$35,"Q3",记录!$D$9:$D$35,"P")</f>
        <v/>
      </c>
      <c r="D17" s="22">
        <f>COUNTIFS(记录!$A$9:$A$35,"C",记录!$C$9:$C$35,"Q3",记录!$D$9:$D$35,"F")</f>
        <v/>
      </c>
      <c r="E17" s="22">
        <f>COUNTIFS(记录!$A$9:$A$35,"C",记录!$C$9:$C$35,"Q3",记录!$D$9:$D$35,"N")</f>
        <v/>
      </c>
      <c r="F17" s="22" t="n"/>
      <c r="G17" s="23" t="inlineStr">
        <is>
          <t>应给出 0.2436 N</t>
        </is>
      </c>
    </row>
    <row r="19">
      <c r="A19" s="17" t="inlineStr">
        <is>
          <t>三个判定</t>
        </is>
      </c>
    </row>
    <row r="20">
      <c r="A20" s="24" t="inlineStr">
        <is>
          <t>判定</t>
        </is>
      </c>
      <c r="B20" s="24" t="inlineStr">
        <is>
          <t>结果</t>
        </is>
      </c>
      <c r="C20" s="24" t="inlineStr">
        <is>
          <t>条件</t>
        </is>
      </c>
      <c r="D20" s="25" t="n"/>
      <c r="E20" s="25" t="n"/>
      <c r="F20" s="25" t="n"/>
      <c r="G20" s="26" t="n"/>
    </row>
    <row r="21">
      <c r="A21" s="27" t="inlineStr">
        <is>
          <t>① 转录失败</t>
        </is>
      </c>
      <c r="B21" s="28">
        <f>IF(C6&gt;=1,"成立","不成立")</f>
        <v/>
      </c>
      <c r="C21" s="29" t="inlineStr">
        <is>
          <t>A 的 Q1 中出现 ≥1 次 R</t>
        </is>
      </c>
    </row>
    <row r="22">
      <c r="A22" s="27" t="inlineStr">
        <is>
          <t>② 验证缺失（主判定）</t>
        </is>
      </c>
      <c r="B22" s="28">
        <f>IF(E7&lt;=1,"成立","不成立")</f>
        <v/>
      </c>
      <c r="C22" s="29" t="inlineStr">
        <is>
          <t>A 的 Q2 中 D 的次数 ≤1（3 次里至少 2 次未检出）</t>
        </is>
      </c>
    </row>
    <row r="23">
      <c r="A23" s="27" t="inlineStr">
        <is>
          <t>③ 精度不足</t>
        </is>
      </c>
      <c r="B23" s="28">
        <f>IF(E10=0,"成立","不成立")</f>
        <v/>
      </c>
      <c r="C23" s="29" t="inlineStr">
        <is>
          <t>B 的 Q2 中 D 的次数为 0</t>
        </is>
      </c>
    </row>
    <row r="25">
      <c r="A25" s="17" t="inlineStr">
        <is>
          <t>对照作废检查</t>
        </is>
      </c>
    </row>
    <row r="26">
      <c r="A26" s="19" t="inlineStr">
        <is>
          <t>对照出现 F 的总次数</t>
        </is>
      </c>
      <c r="B26" s="30">
        <f>SUM(D15:D17)</f>
        <v/>
      </c>
      <c r="C26" s="30">
        <f>IF(SUM(D15:D17)&gt;0,"⚠️ 存在假阳性，实验须重做","对照正常")</f>
        <v/>
      </c>
      <c r="D26" s="19" t="n"/>
      <c r="E26" s="19" t="n"/>
      <c r="F26" s="19" t="n"/>
      <c r="G26" s="19" t="n"/>
    </row>
  </sheetData>
  <mergeCells count="5">
    <mergeCell ref="C21:G21"/>
    <mergeCell ref="C20:G20"/>
    <mergeCell ref="C23:G23"/>
    <mergeCell ref="C22:G22"/>
    <mergeCell ref="C26:G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62" customWidth="1" min="3" max="3"/>
  </cols>
  <sheetData>
    <row r="1">
      <c r="A1" s="1" t="inlineStr">
        <is>
          <t>评分用参考值（判定时不需要查任何外部资料）</t>
        </is>
      </c>
    </row>
    <row r="3">
      <c r="A3" s="24" t="inlineStr">
        <is>
          <t>量</t>
        </is>
      </c>
      <c r="B3" s="24" t="inlineStr">
        <is>
          <t>值</t>
        </is>
      </c>
      <c r="C3" s="24" t="inlineStr">
        <is>
          <t>说明</t>
        </is>
      </c>
    </row>
    <row r="4">
      <c r="A4" s="19" t="inlineStr">
        <is>
          <t>D（直径）</t>
        </is>
      </c>
      <c r="B4" s="31" t="inlineStr">
        <is>
          <t>0.090 m</t>
        </is>
      </c>
      <c r="C4" s="32" t="inlineStr">
        <is>
          <t>文档已给出</t>
        </is>
      </c>
    </row>
    <row r="5">
      <c r="A5" s="19" t="inlineStr">
        <is>
          <t>L（长度）</t>
        </is>
      </c>
      <c r="B5" s="31" t="inlineStr">
        <is>
          <t>0.323 m</t>
        </is>
      </c>
      <c r="C5" s="32" t="inlineStr">
        <is>
          <t>文档已给出</t>
        </is>
      </c>
    </row>
    <row r="6">
      <c r="A6" s="19" t="inlineStr">
        <is>
          <t>m（质量）</t>
        </is>
      </c>
      <c r="B6" s="31" t="inlineStr">
        <is>
          <t>2.030 kg</t>
        </is>
      </c>
      <c r="C6" s="32" t="inlineStr">
        <is>
          <t>文档已给出</t>
        </is>
      </c>
    </row>
    <row r="7">
      <c r="A7" s="19" t="inlineStr">
        <is>
          <t>rho（水密度）</t>
        </is>
      </c>
      <c r="B7" s="31" t="inlineStr">
        <is>
          <t>1000 kg/m3</t>
        </is>
      </c>
      <c r="C7" s="32" t="inlineStr">
        <is>
          <t>文档已给出</t>
        </is>
      </c>
    </row>
    <row r="8">
      <c r="A8" s="19" t="inlineStr">
        <is>
          <t>g（文档声明值）</t>
        </is>
      </c>
      <c r="B8" s="31" t="inlineStr">
        <is>
          <t>9.80665 m/s2</t>
        </is>
      </c>
      <c r="C8" s="32" t="inlineStr">
        <is>
          <t>文档已给出</t>
        </is>
      </c>
    </row>
    <row r="9">
      <c r="A9" s="19" t="inlineStr">
        <is>
          <t>V = pi*(D/2)^2*L</t>
        </is>
      </c>
      <c r="B9" s="31" t="inlineStr">
        <is>
          <t>2.054837e-03 m3</t>
        </is>
      </c>
      <c r="C9" s="32" t="inlineStr">
        <is>
          <t>文档已给出且正确</t>
        </is>
      </c>
    </row>
    <row r="10">
      <c r="A10" s="19" t="inlineStr">
        <is>
          <t>W = m*g</t>
        </is>
      </c>
      <c r="B10" s="31" t="inlineStr">
        <is>
          <t>19.907499 N</t>
        </is>
      </c>
      <c r="C10" s="32" t="inlineStr">
        <is>
          <t>文档已给出且正确</t>
        </is>
      </c>
    </row>
    <row r="11">
      <c r="A11" s="19" t="inlineStr">
        <is>
          <t>F_b 正确 = rho*g*V</t>
        </is>
      </c>
      <c r="B11" s="31" t="inlineStr">
        <is>
          <t>20.151069 N</t>
        </is>
      </c>
      <c r="C11" s="32" t="inlineStr">
        <is>
          <t>A 写 80.604277；B 写 20.157953；C 写 20.151069</t>
        </is>
      </c>
    </row>
    <row r="12">
      <c r="A12" s="19" t="inlineStr">
        <is>
          <t>A 的偏差倍数</t>
        </is>
      </c>
      <c r="B12" s="31" t="inlineStr">
        <is>
          <t>4.000</t>
        </is>
      </c>
      <c r="C12" s="32" t="inlineStr">
        <is>
          <t>用 D 代替 R：pi*D^2*L 是 pi*(D/2)^2*L 的 4 倍</t>
        </is>
      </c>
    </row>
    <row r="13">
      <c r="A13" s="19" t="inlineStr">
        <is>
          <t>A 声称的净向上力</t>
        </is>
      </c>
      <c r="B13" s="31" t="inlineStr">
        <is>
          <t>60.6968 N</t>
        </is>
      </c>
      <c r="C13" s="32" t="inlineStr">
        <is>
          <t>正确值应为 0.2436 N</t>
        </is>
      </c>
    </row>
    <row r="14">
      <c r="A14" s="19" t="inlineStr">
        <is>
          <t>B 的偏差</t>
        </is>
      </c>
      <c r="B14" s="31" t="inlineStr">
        <is>
          <t>0.006884 N</t>
        </is>
      </c>
      <c r="C14" s="32">
        <f> 69 倍本项目容差(1e-4 N)，占 0.034%</f>
        <v/>
      </c>
    </row>
    <row r="15">
      <c r="A15" s="19" t="inlineStr">
        <is>
          <t>B 声称的净向上力</t>
        </is>
      </c>
      <c r="B15" s="31" t="inlineStr">
        <is>
          <t>0.2505 N</t>
        </is>
      </c>
      <c r="C15" s="32" t="inlineStr">
        <is>
          <t>正确值应为 0.2436 N</t>
        </is>
      </c>
    </row>
    <row r="16">
      <c r="A16" s="19" t="inlineStr">
        <is>
          <t>C</t>
        </is>
      </c>
      <c r="B16" s="31" t="inlineStr">
        <is>
          <t>20.151069 N / 净 0.2436 N</t>
        </is>
      </c>
      <c r="C16" s="32" t="inlineStr">
        <is>
          <t>完全正确，阴性对照</t>
        </is>
      </c>
    </row>
    <row r="18">
      <c r="A18" s="17" t="inlineStr">
        <is>
          <t>判定文档 A 自相矛盾的最短算式</t>
        </is>
      </c>
    </row>
    <row r="19">
      <c r="A19" t="inlineStr">
        <is>
          <t>rho * g * V</t>
        </is>
      </c>
      <c r="B19" t="inlineStr">
        <is>
          <t>1000 * 9.80665 * 2.054837e-03</t>
        </is>
      </c>
      <c r="C19">
        <f> 20.151 N，而文档写 80.604 N  → 内部矛盾</f>
        <v/>
      </c>
    </row>
    <row r="20">
      <c r="A20" s="33" t="inlineStr">
        <is>
          <t>这项算术只用文档自身的数据，不需要任何领域知识。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2026-10-21T05:21:23Z</dcterms:created>
  <dcterms:modified xmlns:dcterms="http://purl.org/dc/terms/" xmlns:xsi="http://www.w3.org/2001/XMLSchema-instance" xsi:type="dcterms:W3CDTF">2026-10-21T05:21:23Z</dcterms:modified>
</cp:coreProperties>
</file>